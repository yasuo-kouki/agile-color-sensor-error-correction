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o/second scholl/agile/"/>
    </mc:Choice>
  </mc:AlternateContent>
  <xr:revisionPtr revIDLastSave="0" documentId="13_ncr:1_{D2691F63-26A6-104D-8967-D15F7E3AA132}" xr6:coauthVersionLast="47" xr6:coauthVersionMax="47" xr10:uidLastSave="{00000000-0000-0000-0000-000000000000}"/>
  <bookViews>
    <workbookView xWindow="34780" yWindow="2540" windowWidth="32300" windowHeight="21300" xr2:uid="{84312308-4670-9E4D-8F39-931D831DB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D29" i="1"/>
  <c r="D30" i="1"/>
  <c r="D31" i="1"/>
  <c r="D32" i="1"/>
  <c r="D33" i="1"/>
  <c r="D34" i="1"/>
  <c r="D35" i="1"/>
  <c r="D36" i="1"/>
  <c r="D24" i="1"/>
  <c r="D19" i="1"/>
  <c r="D20" i="1"/>
  <c r="D21" i="1"/>
  <c r="D22" i="1"/>
  <c r="D18" i="1"/>
  <c r="D13" i="1"/>
  <c r="D14" i="1"/>
  <c r="D15" i="1"/>
  <c r="D16" i="1"/>
  <c r="D12" i="1"/>
  <c r="D9" i="1"/>
  <c r="D10" i="1"/>
  <c r="D8" i="1"/>
  <c r="D6" i="1"/>
  <c r="D4" i="1"/>
  <c r="D5" i="1"/>
  <c r="D3" i="1"/>
  <c r="D2" i="1"/>
  <c r="M2" i="1"/>
  <c r="M3" i="1"/>
  <c r="M4" i="1"/>
  <c r="M5" i="1"/>
  <c r="M8" i="1"/>
  <c r="M9" i="1"/>
  <c r="M10" i="1"/>
  <c r="M12" i="1"/>
  <c r="M13" i="1"/>
  <c r="M14" i="1"/>
  <c r="M15" i="1"/>
  <c r="M16" i="1"/>
  <c r="M18" i="1"/>
  <c r="M19" i="1"/>
  <c r="M20" i="1"/>
  <c r="M21" i="1"/>
  <c r="M22" i="1"/>
  <c r="M36" i="1"/>
  <c r="M29" i="1"/>
  <c r="M30" i="1"/>
  <c r="M31" i="1"/>
  <c r="M32" i="1"/>
  <c r="M33" i="1"/>
  <c r="M34" i="1"/>
  <c r="M35" i="1"/>
  <c r="M25" i="1"/>
  <c r="M26" i="1"/>
  <c r="M27" i="1"/>
  <c r="M28" i="1"/>
  <c r="M24" i="1"/>
</calcChain>
</file>

<file path=xl/sharedStrings.xml><?xml version="1.0" encoding="utf-8"?>
<sst xmlns="http://schemas.openxmlformats.org/spreadsheetml/2006/main" count="46" uniqueCount="45">
  <si>
    <t>nomal_model_30</t>
    <phoneticPr fontId="1"/>
  </si>
  <si>
    <t>nomal_model_40</t>
    <phoneticPr fontId="1"/>
  </si>
  <si>
    <t>nomal_model_50</t>
  </si>
  <si>
    <t>nomal_model_60</t>
  </si>
  <si>
    <t>nomal_model_70</t>
  </si>
  <si>
    <t>1st</t>
    <phoneticPr fontId="1"/>
  </si>
  <si>
    <t>2nd</t>
  </si>
  <si>
    <t>3rd</t>
  </si>
  <si>
    <t>4th</t>
  </si>
  <si>
    <t>5th</t>
  </si>
  <si>
    <t>6th</t>
  </si>
  <si>
    <t>time</t>
    <phoneticPr fontId="1"/>
  </si>
  <si>
    <t>model_sparse0.005_csr_int8_param30</t>
    <phoneticPr fontId="1"/>
  </si>
  <si>
    <t>model_sparse0.005_csr_int8_param70</t>
    <phoneticPr fontId="1"/>
  </si>
  <si>
    <t>model_sparse0.005_csr_int8_param80</t>
    <phoneticPr fontId="1"/>
  </si>
  <si>
    <t>model_sparse0.005_csr_int8_param90</t>
  </si>
  <si>
    <t>model_sparse0.005_csr_int8_param100</t>
  </si>
  <si>
    <t>model_sparse0.005_csr_int8_param200</t>
    <phoneticPr fontId="1"/>
  </si>
  <si>
    <t>model_sparse0.005_csr_int8_param500</t>
  </si>
  <si>
    <t>model_sparse0.005_csr_int8_param700</t>
  </si>
  <si>
    <t>model_sparse0.005_csr_int8_param1000</t>
  </si>
  <si>
    <t>model_sparse0.005_csr_int8_param1100</t>
  </si>
  <si>
    <t>model_sparse0.005_csr_int8_param1200</t>
  </si>
  <si>
    <t>sketch</t>
    <phoneticPr fontId="1"/>
  </si>
  <si>
    <t>Global</t>
    <phoneticPr fontId="1"/>
  </si>
  <si>
    <t>sparse_model_30_0.005</t>
    <phoneticPr fontId="1"/>
  </si>
  <si>
    <t>sparse_model_30_0.05</t>
    <phoneticPr fontId="1"/>
  </si>
  <si>
    <t>sparse_model_30_0.01</t>
    <phoneticPr fontId="1"/>
  </si>
  <si>
    <t>model_sparse0.05_csr_int8_param30</t>
    <phoneticPr fontId="1"/>
  </si>
  <si>
    <t>model_sparse0.01_csr_int8_param30</t>
    <phoneticPr fontId="1"/>
  </si>
  <si>
    <t>model_sparse0.005_csr_int8_param1000</t>
    <phoneticPr fontId="1"/>
  </si>
  <si>
    <t>model_sparse0.01_csr_int8_param1000</t>
    <phoneticPr fontId="1"/>
  </si>
  <si>
    <t>model_sparse0.05_csr_int8_param1000</t>
    <phoneticPr fontId="1"/>
  </si>
  <si>
    <t>model_sparse0.1_csr_int8_param30</t>
    <phoneticPr fontId="1"/>
  </si>
  <si>
    <t>model_sparse0.001_csr_int8_param1000</t>
    <phoneticPr fontId="1"/>
  </si>
  <si>
    <t>model_sparse0.001_csr_int8_param30</t>
    <phoneticPr fontId="1"/>
  </si>
  <si>
    <t>model_sparse0.1_csr_int8_param1000</t>
    <phoneticPr fontId="1"/>
  </si>
  <si>
    <t>filename</t>
    <phoneticPr fontId="1"/>
  </si>
  <si>
    <t>model_sparse0.005_csr_int8_param40</t>
    <phoneticPr fontId="1"/>
  </si>
  <si>
    <t>model_sparse0.005_csr_int8_param50</t>
    <phoneticPr fontId="1"/>
  </si>
  <si>
    <t>model_sparse0.005_csr_int8_param60</t>
    <phoneticPr fontId="1"/>
  </si>
  <si>
    <t>mean</t>
    <phoneticPr fontId="1"/>
  </si>
  <si>
    <t>compression</t>
    <phoneticPr fontId="1"/>
  </si>
  <si>
    <t>bytes_1</t>
    <phoneticPr fontId="1"/>
  </si>
  <si>
    <t>bytes_2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</si>
</sst>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Sheet1!$M$24:$M$36</c:f>
              <c:numCache>
                <c:formatCode>General</c:formatCode>
                <c:ptCount val="13"/>
                <c:pt idx="0">
                  <c:v>379.67400000000004</c:v>
                </c:pt>
                <c:pt idx="1">
                  <c:v>451.72399999999999</c:v>
                </c:pt>
                <c:pt idx="2">
                  <c:v>417.14999999999992</c:v>
                </c:pt>
                <c:pt idx="3">
                  <c:v>335.15</c:v>
                </c:pt>
                <c:pt idx="4">
                  <c:v>216.73400000000001</c:v>
                </c:pt>
                <c:pt idx="5">
                  <c:v>337.27333333333331</c:v>
                </c:pt>
                <c:pt idx="6">
                  <c:v>480.25666666666666</c:v>
                </c:pt>
                <c:pt idx="7">
                  <c:v>526.49333333333334</c:v>
                </c:pt>
                <c:pt idx="8">
                  <c:v>297.99</c:v>
                </c:pt>
                <c:pt idx="9">
                  <c:v>301.79000000000002</c:v>
                </c:pt>
                <c:pt idx="10">
                  <c:v>303.16000000000003</c:v>
                </c:pt>
                <c:pt idx="11">
                  <c:v>386.12799999999999</c:v>
                </c:pt>
                <c:pt idx="12">
                  <c:v>216.86666666666665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6-6048-92EB-8A187DB01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335680"/>
        <c:axId val="1277334784"/>
      </c:barChart>
      <c:catAx>
        <c:axId val="12773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7334784"/>
        <c:crosses val="autoZero"/>
        <c:auto val="1"/>
        <c:lblAlgn val="ctr"/>
        <c:lblOffset val="100"/>
        <c:noMultiLvlLbl val="0"/>
      </c:catAx>
      <c:valAx>
        <c:axId val="12773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77335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2962882</xdr:colOff>
      <xdr:row>37</xdr:row>
      <xdr:rowOff>161857</xdr:rowOff>
    </xdr:from>
    <xdr:to>
      <xdr:col>13</xdr:col>
      <xdr:colOff>689041</xdr:colOff>
      <xdr:row>57</xdr:row>
      <xdr:rowOff>135106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38294E-2867-6A1F-B1BD-4A0489E8E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E09A-E0D8-7249-A3E8-44B4BE309C56}">
  <dimension ref="A1:P37"/>
  <sheetViews>
    <sheetView tabSelected="1" topLeftCell="B1" zoomScale="99" workbookViewId="0">
      <selection activeCell="M33" sqref="M33"/>
    </sheetView>
  </sheetViews>
  <sheetFormatPr baseColWidth="10" defaultRowHeight="20"/>
  <cols>
    <col min="1" max="1" width="33.5703125" customWidth="1"/>
    <col min="2" max="4" width="11.140625" customWidth="1"/>
    <col min="5" max="5" width="10.28515625" customWidth="1"/>
  </cols>
  <sheetData>
    <row r="1" spans="1:16">
      <c r="A1" t="s">
        <v>37</v>
      </c>
      <c r="B1" t="s">
        <v>43</v>
      </c>
      <c r="C1" t="s">
        <v>44</v>
      </c>
      <c r="D1" t="s">
        <v>42</v>
      </c>
      <c r="E1" t="s">
        <v>23</v>
      </c>
      <c r="F1" t="s">
        <v>24</v>
      </c>
      <c r="G1" t="s">
        <v>11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41</v>
      </c>
      <c r="P1" t="s">
        <v>10</v>
      </c>
    </row>
    <row r="2" spans="1:16">
      <c r="A2" t="s">
        <v>0</v>
      </c>
      <c r="B2">
        <v>16458</v>
      </c>
      <c r="C2">
        <v>16458</v>
      </c>
      <c r="D2">
        <f>B2/C2</f>
        <v>1</v>
      </c>
      <c r="E2">
        <v>69872</v>
      </c>
      <c r="F2">
        <v>11420</v>
      </c>
      <c r="G2">
        <v>716</v>
      </c>
      <c r="H2">
        <v>391.52</v>
      </c>
      <c r="I2">
        <v>608.52</v>
      </c>
      <c r="J2">
        <v>240.52</v>
      </c>
      <c r="K2">
        <v>319.37</v>
      </c>
      <c r="L2">
        <v>528.70000000000005</v>
      </c>
      <c r="M2">
        <f>AVERAGE(H2:L2)</f>
        <v>417.726</v>
      </c>
      <c r="P2">
        <v>65.260000000000005</v>
      </c>
    </row>
    <row r="3" spans="1:16">
      <c r="A3" t="s">
        <v>1</v>
      </c>
      <c r="B3">
        <v>27885</v>
      </c>
      <c r="C3">
        <v>27885</v>
      </c>
      <c r="D3">
        <f>B3/C3</f>
        <v>1</v>
      </c>
      <c r="E3">
        <v>73008</v>
      </c>
      <c r="F3">
        <v>14544</v>
      </c>
      <c r="G3">
        <v>1177</v>
      </c>
      <c r="H3">
        <v>441</v>
      </c>
      <c r="I3">
        <v>462.7</v>
      </c>
      <c r="J3">
        <v>516.29999999999995</v>
      </c>
      <c r="K3">
        <v>421.78</v>
      </c>
      <c r="L3">
        <v>431.93</v>
      </c>
      <c r="M3">
        <f>AVERAGE(H3:L3)</f>
        <v>454.74200000000002</v>
      </c>
    </row>
    <row r="4" spans="1:16">
      <c r="A4" t="s">
        <v>2</v>
      </c>
      <c r="B4">
        <v>42273</v>
      </c>
      <c r="C4">
        <v>42273</v>
      </c>
      <c r="D4">
        <f>B4/C4</f>
        <v>1</v>
      </c>
      <c r="E4">
        <v>76928</v>
      </c>
      <c r="F4">
        <v>18464</v>
      </c>
      <c r="G4">
        <v>1655</v>
      </c>
      <c r="H4">
        <v>195.37</v>
      </c>
      <c r="I4">
        <v>366.37</v>
      </c>
      <c r="J4">
        <v>371.07</v>
      </c>
      <c r="K4">
        <v>224.67</v>
      </c>
      <c r="L4">
        <v>87.22</v>
      </c>
      <c r="M4">
        <f>AVERAGE(H4:L4)</f>
        <v>248.94</v>
      </c>
    </row>
    <row r="5" spans="1:16">
      <c r="A5" t="s">
        <v>3</v>
      </c>
      <c r="B5">
        <v>59560</v>
      </c>
      <c r="C5">
        <v>59560</v>
      </c>
      <c r="D5">
        <f>B5/C5</f>
        <v>1</v>
      </c>
      <c r="E5">
        <v>81648</v>
      </c>
      <c r="F5">
        <v>23184</v>
      </c>
      <c r="G5">
        <v>2399</v>
      </c>
      <c r="H5">
        <v>311.93</v>
      </c>
      <c r="I5">
        <v>582.29999999999995</v>
      </c>
      <c r="J5">
        <v>320.04000000000002</v>
      </c>
      <c r="K5">
        <v>593.63</v>
      </c>
      <c r="L5">
        <v>424.52</v>
      </c>
      <c r="M5">
        <f>AVERAGE(H5:L5)</f>
        <v>446.48400000000004</v>
      </c>
    </row>
    <row r="6" spans="1:16">
      <c r="A6" t="s">
        <v>4</v>
      </c>
      <c r="B6">
        <v>79630</v>
      </c>
      <c r="C6">
        <v>79630</v>
      </c>
      <c r="D6">
        <f>B6/C6</f>
        <v>1</v>
      </c>
    </row>
    <row r="8" spans="1:16">
      <c r="A8" t="s">
        <v>25</v>
      </c>
      <c r="B8">
        <v>7550</v>
      </c>
      <c r="C8">
        <v>16458</v>
      </c>
      <c r="D8">
        <f>1-B8/C8</f>
        <v>0.54125653177785882</v>
      </c>
      <c r="E8">
        <v>69904</v>
      </c>
      <c r="F8">
        <v>11424</v>
      </c>
      <c r="G8">
        <v>716</v>
      </c>
      <c r="H8">
        <v>286.3</v>
      </c>
      <c r="I8">
        <v>163.37</v>
      </c>
      <c r="J8">
        <v>209.3</v>
      </c>
      <c r="K8">
        <v>295.67</v>
      </c>
      <c r="L8">
        <v>483.7</v>
      </c>
      <c r="M8">
        <f>AVERAGE(H8:L8)</f>
        <v>287.66800000000001</v>
      </c>
    </row>
    <row r="9" spans="1:16">
      <c r="A9" t="s">
        <v>27</v>
      </c>
      <c r="B9">
        <v>7540</v>
      </c>
      <c r="C9">
        <v>16458</v>
      </c>
      <c r="D9">
        <f t="shared" ref="D9:D10" si="0">1-B9/C9</f>
        <v>0.54186413902053721</v>
      </c>
      <c r="E9">
        <v>69904</v>
      </c>
      <c r="F9">
        <v>11424</v>
      </c>
      <c r="G9">
        <v>716</v>
      </c>
      <c r="H9">
        <v>124.11</v>
      </c>
      <c r="I9">
        <v>868.44</v>
      </c>
      <c r="J9">
        <v>487.89</v>
      </c>
      <c r="K9">
        <v>605.22</v>
      </c>
      <c r="L9">
        <v>127.52</v>
      </c>
      <c r="M9">
        <f>AVERAGE(H9:L9)</f>
        <v>442.63599999999997</v>
      </c>
    </row>
    <row r="10" spans="1:16">
      <c r="A10" t="s">
        <v>26</v>
      </c>
      <c r="B10">
        <v>7440</v>
      </c>
      <c r="C10">
        <v>16458</v>
      </c>
      <c r="D10">
        <f t="shared" si="0"/>
        <v>0.54794021144732041</v>
      </c>
      <c r="E10">
        <v>69904</v>
      </c>
      <c r="F10">
        <v>11424</v>
      </c>
      <c r="G10">
        <v>716</v>
      </c>
      <c r="H10">
        <v>719.74</v>
      </c>
      <c r="I10">
        <v>916.56</v>
      </c>
      <c r="J10">
        <v>470.22</v>
      </c>
      <c r="K10">
        <v>755.52</v>
      </c>
      <c r="L10">
        <v>117.74</v>
      </c>
      <c r="M10">
        <f>AVERAGE(H10:L10)</f>
        <v>595.9559999999999</v>
      </c>
    </row>
    <row r="12" spans="1:16">
      <c r="A12" t="s">
        <v>33</v>
      </c>
      <c r="B12">
        <v>2140</v>
      </c>
      <c r="C12">
        <v>16458</v>
      </c>
      <c r="D12">
        <f>1-B12/C12</f>
        <v>0.86997205006683676</v>
      </c>
      <c r="E12">
        <v>66360</v>
      </c>
      <c r="F12">
        <v>7800</v>
      </c>
      <c r="G12">
        <v>144</v>
      </c>
      <c r="H12">
        <v>500.56</v>
      </c>
      <c r="I12">
        <v>555.37</v>
      </c>
      <c r="J12">
        <v>596.52</v>
      </c>
      <c r="M12">
        <f>AVERAGE(H12:L12)</f>
        <v>550.81666666666672</v>
      </c>
    </row>
    <row r="13" spans="1:16">
      <c r="A13" t="s">
        <v>28</v>
      </c>
      <c r="B13">
        <v>2223</v>
      </c>
      <c r="C13">
        <v>16458</v>
      </c>
      <c r="D13">
        <f t="shared" ref="D13:D16" si="1">1-B13/C13</f>
        <v>0.86492890995260663</v>
      </c>
      <c r="E13">
        <v>66396</v>
      </c>
      <c r="F13">
        <v>7852</v>
      </c>
      <c r="G13">
        <v>150</v>
      </c>
      <c r="H13">
        <v>645.70000000000005</v>
      </c>
      <c r="I13">
        <v>647.96</v>
      </c>
      <c r="J13">
        <v>756.7</v>
      </c>
      <c r="M13">
        <f>AVERAGE(H13:L13)</f>
        <v>683.45333333333338</v>
      </c>
    </row>
    <row r="14" spans="1:16">
      <c r="A14" t="s">
        <v>29</v>
      </c>
      <c r="B14">
        <v>2332</v>
      </c>
      <c r="C14">
        <v>16458</v>
      </c>
      <c r="D14">
        <f t="shared" si="1"/>
        <v>0.85830599100741278</v>
      </c>
      <c r="E14">
        <v>66468</v>
      </c>
      <c r="F14">
        <v>7924</v>
      </c>
      <c r="G14">
        <v>159</v>
      </c>
      <c r="H14">
        <v>273.22000000000003</v>
      </c>
      <c r="I14">
        <v>421.41</v>
      </c>
      <c r="J14">
        <v>370.48</v>
      </c>
      <c r="M14">
        <f>AVERAGE(H14:L14)</f>
        <v>355.03666666666669</v>
      </c>
    </row>
    <row r="15" spans="1:16">
      <c r="A15" t="s">
        <v>12</v>
      </c>
      <c r="B15">
        <v>2348</v>
      </c>
      <c r="C15">
        <v>16458</v>
      </c>
      <c r="D15">
        <f t="shared" si="1"/>
        <v>0.85733381941912745</v>
      </c>
      <c r="E15">
        <v>66472</v>
      </c>
      <c r="F15">
        <v>7928</v>
      </c>
      <c r="G15">
        <v>159</v>
      </c>
      <c r="H15">
        <v>434.67</v>
      </c>
      <c r="I15">
        <v>408</v>
      </c>
      <c r="J15">
        <v>464.67</v>
      </c>
      <c r="M15">
        <f>AVERAGE(H15:L15)</f>
        <v>435.78000000000003</v>
      </c>
    </row>
    <row r="16" spans="1:16">
      <c r="A16" t="s">
        <v>35</v>
      </c>
      <c r="B16">
        <v>2349</v>
      </c>
      <c r="C16">
        <v>16458</v>
      </c>
      <c r="D16">
        <f t="shared" si="1"/>
        <v>0.85727305869485959</v>
      </c>
      <c r="E16">
        <v>66472</v>
      </c>
      <c r="F16">
        <v>7928</v>
      </c>
      <c r="G16">
        <v>160</v>
      </c>
      <c r="H16">
        <v>231.85</v>
      </c>
      <c r="I16">
        <v>391.97</v>
      </c>
      <c r="J16">
        <v>412.07</v>
      </c>
      <c r="M16">
        <f>AVERAGE(H16:L16)</f>
        <v>345.29666666666668</v>
      </c>
    </row>
    <row r="18" spans="1:13">
      <c r="A18" t="s">
        <v>36</v>
      </c>
      <c r="B18">
        <v>16256</v>
      </c>
      <c r="C18">
        <v>14759027</v>
      </c>
      <c r="D18">
        <f>1-B18/C18</f>
        <v>0.99889857237878887</v>
      </c>
      <c r="E18">
        <v>76020</v>
      </c>
      <c r="F18">
        <v>17460</v>
      </c>
      <c r="G18">
        <v>2163</v>
      </c>
      <c r="H18">
        <v>778</v>
      </c>
      <c r="I18">
        <v>774.44</v>
      </c>
      <c r="J18">
        <v>599.89</v>
      </c>
      <c r="M18">
        <f>AVERAGE(H18:L18)</f>
        <v>717.44333333333327</v>
      </c>
    </row>
    <row r="19" spans="1:13">
      <c r="A19" t="s">
        <v>32</v>
      </c>
      <c r="B19">
        <v>17634</v>
      </c>
      <c r="C19">
        <v>14759027</v>
      </c>
      <c r="D19">
        <f t="shared" ref="D19:D22" si="2">1-B19/C19</f>
        <v>0.9988052057903275</v>
      </c>
      <c r="E19">
        <v>76072</v>
      </c>
      <c r="F19">
        <v>17512</v>
      </c>
      <c r="G19">
        <v>2170</v>
      </c>
      <c r="H19">
        <v>333.19</v>
      </c>
      <c r="I19">
        <v>391.11</v>
      </c>
      <c r="J19">
        <v>440.33</v>
      </c>
      <c r="M19">
        <f>AVERAGE(H19:L19)</f>
        <v>388.21</v>
      </c>
    </row>
    <row r="20" spans="1:13">
      <c r="A20" t="s">
        <v>31</v>
      </c>
      <c r="B20">
        <v>18479</v>
      </c>
      <c r="C20">
        <v>14759027</v>
      </c>
      <c r="D20">
        <f t="shared" si="2"/>
        <v>0.99874795269362948</v>
      </c>
      <c r="E20">
        <v>76148</v>
      </c>
      <c r="F20">
        <v>17588</v>
      </c>
      <c r="G20">
        <v>2180</v>
      </c>
      <c r="H20">
        <v>471.07</v>
      </c>
      <c r="I20">
        <v>492.63</v>
      </c>
      <c r="J20">
        <v>443.37</v>
      </c>
      <c r="M20">
        <f>AVERAGE(H20:L20)</f>
        <v>469.02333333333337</v>
      </c>
    </row>
    <row r="21" spans="1:13">
      <c r="A21" t="s">
        <v>30</v>
      </c>
      <c r="B21">
        <v>18709</v>
      </c>
      <c r="C21">
        <v>14759027</v>
      </c>
      <c r="D21">
        <f t="shared" si="2"/>
        <v>0.99873236901050455</v>
      </c>
      <c r="E21">
        <v>76160</v>
      </c>
      <c r="F21">
        <v>17600</v>
      </c>
      <c r="G21">
        <v>2181</v>
      </c>
      <c r="H21">
        <v>322.44</v>
      </c>
      <c r="I21">
        <v>409.7</v>
      </c>
      <c r="J21">
        <v>286.58999999999997</v>
      </c>
      <c r="M21">
        <f>AVERAGE(H21:L21)</f>
        <v>339.57666666666665</v>
      </c>
    </row>
    <row r="22" spans="1:13">
      <c r="A22" t="s">
        <v>34</v>
      </c>
      <c r="B22">
        <v>18719</v>
      </c>
      <c r="C22">
        <v>14759027</v>
      </c>
      <c r="D22">
        <f t="shared" si="2"/>
        <v>0.99873169145906437</v>
      </c>
      <c r="E22">
        <v>76160</v>
      </c>
      <c r="F22">
        <v>17600</v>
      </c>
      <c r="G22">
        <v>2181</v>
      </c>
      <c r="H22">
        <v>565.96</v>
      </c>
      <c r="I22">
        <v>446.7</v>
      </c>
      <c r="J22">
        <v>368.33</v>
      </c>
      <c r="M22">
        <f>AVERAGE(H22:L22)</f>
        <v>460.33</v>
      </c>
    </row>
    <row r="24" spans="1:13">
      <c r="A24" t="s">
        <v>12</v>
      </c>
      <c r="B24">
        <v>2368</v>
      </c>
      <c r="C24">
        <v>16458</v>
      </c>
      <c r="D24">
        <f>1-B24/C24</f>
        <v>0.85611860493377079</v>
      </c>
      <c r="E24">
        <v>66468</v>
      </c>
      <c r="F24">
        <v>7924</v>
      </c>
      <c r="G24">
        <v>159</v>
      </c>
      <c r="H24">
        <v>191.44</v>
      </c>
      <c r="I24">
        <v>347.63</v>
      </c>
      <c r="J24">
        <v>563.44000000000005</v>
      </c>
      <c r="K24">
        <v>437.93</v>
      </c>
      <c r="L24">
        <v>357.93</v>
      </c>
      <c r="M24">
        <f>AVERAGE(H24:L24)</f>
        <v>379.67400000000004</v>
      </c>
    </row>
    <row r="25" spans="1:13">
      <c r="A25" t="s">
        <v>38</v>
      </c>
      <c r="B25">
        <v>2578</v>
      </c>
      <c r="C25">
        <v>27885</v>
      </c>
      <c r="D25">
        <f t="shared" ref="D25:D36" si="3">1-B25/C25</f>
        <v>0.90754886139501523</v>
      </c>
      <c r="E25">
        <v>66576</v>
      </c>
      <c r="F25">
        <v>8032</v>
      </c>
      <c r="G25">
        <v>178</v>
      </c>
      <c r="H25">
        <v>512.44000000000005</v>
      </c>
      <c r="I25">
        <v>542.33000000000004</v>
      </c>
      <c r="J25">
        <v>325.44</v>
      </c>
      <c r="K25">
        <v>454.26</v>
      </c>
      <c r="L25">
        <v>424.15</v>
      </c>
      <c r="M25">
        <f>AVERAGE(H25:L25)</f>
        <v>451.72399999999999</v>
      </c>
    </row>
    <row r="26" spans="1:13">
      <c r="A26" t="s">
        <v>39</v>
      </c>
      <c r="B26">
        <v>2815</v>
      </c>
      <c r="C26">
        <v>42273</v>
      </c>
      <c r="D26">
        <f t="shared" si="3"/>
        <v>0.93340903176968748</v>
      </c>
      <c r="E26">
        <v>66732</v>
      </c>
      <c r="F26">
        <v>8188</v>
      </c>
      <c r="G26">
        <v>205</v>
      </c>
      <c r="H26">
        <v>491.26</v>
      </c>
      <c r="I26">
        <v>389.89</v>
      </c>
      <c r="J26">
        <v>421.78</v>
      </c>
      <c r="K26">
        <v>247.89</v>
      </c>
      <c r="L26">
        <v>534.92999999999995</v>
      </c>
      <c r="M26">
        <f>AVERAGE(H26:L26)</f>
        <v>417.14999999999992</v>
      </c>
    </row>
    <row r="27" spans="1:13">
      <c r="A27" t="s">
        <v>40</v>
      </c>
      <c r="B27">
        <v>2918</v>
      </c>
      <c r="C27">
        <v>59560</v>
      </c>
      <c r="D27">
        <f t="shared" si="3"/>
        <v>0.95100738750839486</v>
      </c>
      <c r="E27">
        <v>66816</v>
      </c>
      <c r="F27">
        <v>8272</v>
      </c>
      <c r="G27">
        <v>224</v>
      </c>
      <c r="H27">
        <v>457.56</v>
      </c>
      <c r="I27">
        <v>205.37</v>
      </c>
      <c r="J27">
        <v>326.19</v>
      </c>
      <c r="K27">
        <v>249.3</v>
      </c>
      <c r="L27">
        <v>437.33</v>
      </c>
      <c r="M27">
        <f>AVERAGE(H27:L27)</f>
        <v>335.15</v>
      </c>
    </row>
    <row r="28" spans="1:13" ht="19" customHeight="1">
      <c r="A28" t="s">
        <v>13</v>
      </c>
      <c r="B28">
        <v>3053</v>
      </c>
      <c r="C28">
        <v>79630</v>
      </c>
      <c r="D28">
        <f t="shared" si="3"/>
        <v>0.96166017832475204</v>
      </c>
      <c r="E28">
        <v>66868</v>
      </c>
      <c r="F28">
        <v>8324</v>
      </c>
      <c r="G28">
        <v>241</v>
      </c>
      <c r="H28">
        <v>173</v>
      </c>
      <c r="I28">
        <v>466</v>
      </c>
      <c r="J28">
        <v>278.52</v>
      </c>
      <c r="K28">
        <v>23.19</v>
      </c>
      <c r="L28">
        <v>142.96</v>
      </c>
      <c r="M28">
        <f>AVERAGE(H28:L28)</f>
        <v>216.73400000000001</v>
      </c>
    </row>
    <row r="29" spans="1:13">
      <c r="A29" t="s">
        <v>14</v>
      </c>
      <c r="B29">
        <v>3097</v>
      </c>
      <c r="C29">
        <v>103073</v>
      </c>
      <c r="D29">
        <f t="shared" si="3"/>
        <v>0.96995333404480322</v>
      </c>
      <c r="E29">
        <v>66928</v>
      </c>
      <c r="F29">
        <v>8384</v>
      </c>
      <c r="G29">
        <v>256</v>
      </c>
      <c r="H29">
        <v>247.56</v>
      </c>
      <c r="I29">
        <v>400.52</v>
      </c>
      <c r="J29">
        <v>363.74</v>
      </c>
      <c r="M29">
        <f>AVERAGE(H29:L29)</f>
        <v>337.27333333333331</v>
      </c>
    </row>
    <row r="30" spans="1:13">
      <c r="A30" t="s">
        <v>15</v>
      </c>
      <c r="B30">
        <v>3482</v>
      </c>
      <c r="C30">
        <v>129080</v>
      </c>
      <c r="D30">
        <f t="shared" si="3"/>
        <v>0.97302448094205141</v>
      </c>
      <c r="E30">
        <v>67160</v>
      </c>
      <c r="F30">
        <v>8616</v>
      </c>
      <c r="G30">
        <v>292</v>
      </c>
      <c r="H30">
        <v>540.48</v>
      </c>
      <c r="I30">
        <v>318.33</v>
      </c>
      <c r="J30">
        <v>581.96</v>
      </c>
      <c r="M30">
        <f>AVERAGE(H30:L30)</f>
        <v>480.25666666666666</v>
      </c>
    </row>
    <row r="31" spans="1:13">
      <c r="A31" t="s">
        <v>16</v>
      </c>
      <c r="B31">
        <v>3650</v>
      </c>
      <c r="C31">
        <v>158034</v>
      </c>
      <c r="D31">
        <f t="shared" si="3"/>
        <v>0.97690370426617057</v>
      </c>
      <c r="E31">
        <v>67240</v>
      </c>
      <c r="F31">
        <v>8696</v>
      </c>
      <c r="G31">
        <v>313</v>
      </c>
      <c r="H31">
        <v>469.59</v>
      </c>
      <c r="I31">
        <v>585.78</v>
      </c>
      <c r="J31">
        <v>524.11</v>
      </c>
      <c r="M31">
        <f>AVERAGE(H31:L31)</f>
        <v>526.49333333333334</v>
      </c>
    </row>
    <row r="32" spans="1:13">
      <c r="A32" t="s">
        <v>17</v>
      </c>
      <c r="B32">
        <v>5278</v>
      </c>
      <c r="C32">
        <v>609431</v>
      </c>
      <c r="D32">
        <f t="shared" si="3"/>
        <v>0.99133946254785199</v>
      </c>
      <c r="E32">
        <v>68152</v>
      </c>
      <c r="F32">
        <v>9608</v>
      </c>
      <c r="G32">
        <v>504</v>
      </c>
      <c r="H32">
        <v>250.67</v>
      </c>
      <c r="I32">
        <v>281.56</v>
      </c>
      <c r="J32">
        <v>361.74</v>
      </c>
      <c r="M32">
        <f>AVERAGE(H32:L32)</f>
        <v>297.99</v>
      </c>
    </row>
    <row r="33" spans="1:13">
      <c r="A33" t="s">
        <v>18</v>
      </c>
      <c r="B33">
        <v>5278</v>
      </c>
      <c r="C33">
        <v>3720238</v>
      </c>
      <c r="D33">
        <f t="shared" si="3"/>
        <v>0.99858127356368065</v>
      </c>
      <c r="E33">
        <v>71220</v>
      </c>
      <c r="F33">
        <v>12660</v>
      </c>
      <c r="G33">
        <v>1145</v>
      </c>
      <c r="H33">
        <v>246.19</v>
      </c>
      <c r="I33">
        <v>338.7</v>
      </c>
      <c r="J33">
        <v>320.48</v>
      </c>
      <c r="M33">
        <f>AVERAGE(H33:L33)</f>
        <v>301.79000000000002</v>
      </c>
    </row>
    <row r="34" spans="1:13">
      <c r="A34" t="s">
        <v>19</v>
      </c>
      <c r="B34">
        <v>10290</v>
      </c>
      <c r="C34">
        <v>7255329</v>
      </c>
      <c r="D34">
        <f t="shared" si="3"/>
        <v>0.99858173213096191</v>
      </c>
      <c r="E34">
        <v>73160</v>
      </c>
      <c r="F34">
        <v>14600</v>
      </c>
      <c r="G34">
        <v>1153</v>
      </c>
      <c r="H34">
        <v>301.11</v>
      </c>
      <c r="I34">
        <v>386.22</v>
      </c>
      <c r="J34">
        <v>222.15</v>
      </c>
      <c r="M34">
        <f>AVERAGE(H34:L34)</f>
        <v>303.16000000000003</v>
      </c>
    </row>
    <row r="35" spans="1:13">
      <c r="A35" t="s">
        <v>20</v>
      </c>
      <c r="B35">
        <v>13566</v>
      </c>
      <c r="C35">
        <v>14759027</v>
      </c>
      <c r="D35">
        <f t="shared" si="3"/>
        <v>0.99908083371620637</v>
      </c>
      <c r="E35">
        <v>76192</v>
      </c>
      <c r="F35">
        <v>17632</v>
      </c>
      <c r="G35">
        <v>2185</v>
      </c>
      <c r="H35">
        <v>274.74</v>
      </c>
      <c r="I35">
        <v>261.85000000000002</v>
      </c>
      <c r="J35">
        <v>381.93</v>
      </c>
      <c r="K35">
        <v>611.92999999999995</v>
      </c>
      <c r="L35">
        <v>400.19</v>
      </c>
      <c r="M35">
        <f>AVERAGE(H35:L35)</f>
        <v>386.12799999999999</v>
      </c>
    </row>
    <row r="36" spans="1:13">
      <c r="A36" t="s">
        <v>21</v>
      </c>
      <c r="B36">
        <v>20119</v>
      </c>
      <c r="C36">
        <v>17842882</v>
      </c>
      <c r="D36">
        <f t="shared" si="3"/>
        <v>0.9988724355179841</v>
      </c>
      <c r="E36">
        <v>77176</v>
      </c>
      <c r="F36">
        <v>18616</v>
      </c>
      <c r="G36">
        <v>2394</v>
      </c>
      <c r="H36">
        <v>150.26</v>
      </c>
      <c r="I36">
        <v>210.41</v>
      </c>
      <c r="J36">
        <v>289.93</v>
      </c>
      <c r="M36">
        <f>AVERAGE(H36:L36)</f>
        <v>216.86666666666665</v>
      </c>
    </row>
    <row r="37" spans="1:13">
      <c r="A37" t="s">
        <v>22</v>
      </c>
      <c r="B37">
        <v>20119</v>
      </c>
      <c r="E37">
        <v>77171</v>
      </c>
      <c r="F37">
        <v>18615</v>
      </c>
    </row>
  </sheetData>
  <phoneticPr fontId="1"/>
  <pageMargins left="0.7" right="0.7" top="0.75" bottom="0.75" header="0.3" footer="0.3"/>
  <ignoredErrors>
    <ignoredError sqref="M34:M36 M2:M5 M8:M10 M12:M16 M18:M22 M24:M3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安尾　晃貴</dc:creator>
  <cp:lastModifiedBy>安尾　晃貴</cp:lastModifiedBy>
  <dcterms:created xsi:type="dcterms:W3CDTF">2025-11-19T09:26:23Z</dcterms:created>
  <dcterms:modified xsi:type="dcterms:W3CDTF">2025-11-24T00:19:58Z</dcterms:modified>
</cp:coreProperties>
</file>